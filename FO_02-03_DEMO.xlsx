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o Mayor" sheetId="1" state="visible" r:id="rId1"/>
    <sheet name="Movimientos Bancarios" sheetId="2" state="visible" r:id="rId2"/>
  </sheets>
  <definedNames>
    <definedName name="_xlnm._FilterDatabase" localSheetId="1" hidden="1">'Movimientos Bancarios'!$A$8:$E$24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-mm-dd"/>
    <numFmt numFmtId="166" formatCode="dd/mm/yyyy"/>
  </numFmts>
  <fonts count="3">
    <font>
      <name val="Calibri"/>
      <family val="2"/>
      <color theme="1"/>
      <sz val="11"/>
      <scheme val="minor"/>
    </font>
    <font>
      <name val="Calibri"/>
      <b val="1"/>
      <sz val="2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00B0F0"/>
      </patternFill>
    </fill>
    <fill>
      <patternFill patternType="solid">
        <fgColor rgb="FFFFFF00"/>
      </patternFill>
    </fill>
    <fill>
      <patternFill patternType="solid">
        <fgColor rgb="FF93C47D"/>
      </patternFill>
    </fill>
  </fills>
  <borders count="12">
    <border>
      <left/>
      <right/>
      <top/>
      <bottom/>
      <diagonal/>
    </border>
    <border>
      <left style="medium"/>
      <right style="medium"/>
      <top style="medium"/>
      <bottom style="medium"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</border>
    <border>
      <left style="medium"/>
      <right style="medium"/>
    </border>
    <border>
      <left style="medium"/>
      <right style="medium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1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right" shrinkToFit="1"/>
    </xf>
    <xf numFmtId="166" fontId="0" fillId="0" borderId="0" applyAlignment="1" pivotButton="0" quotePrefix="0" xfId="0">
      <alignment horizontal="center"/>
    </xf>
    <xf numFmtId="164" fontId="0" fillId="3" borderId="0" applyAlignment="1" pivotButton="0" quotePrefix="0" xfId="0">
      <alignment horizontal="right" shrinkToFit="1"/>
    </xf>
    <xf numFmtId="164" fontId="0" fillId="0" borderId="0" applyAlignment="1" pivotButton="0" quotePrefix="0" xfId="0">
      <alignment horizontal="right" shrinkToFit="1"/>
    </xf>
    <xf numFmtId="164" fontId="0" fillId="4" borderId="0" applyAlignment="1" pivotButton="0" quotePrefix="0" xfId="0">
      <alignment horizontal="right" shrinkToFit="1"/>
    </xf>
    <xf numFmtId="0" fontId="2" fillId="0" borderId="11" applyAlignment="1" pivotButton="0" quotePrefix="0" xfId="0">
      <alignment horizontal="center"/>
    </xf>
    <xf numFmtId="164" fontId="0" fillId="0" borderId="11" applyAlignment="1" pivotButton="0" quotePrefix="0" xfId="0">
      <alignment horizontal="right" shrinkToFit="1"/>
    </xf>
    <xf numFmtId="164" fontId="2" fillId="0" borderId="11" applyAlignment="1" pivotButton="0" quotePrefix="0" xfId="0">
      <alignment horizontal="right" shrinkToFi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16" customWidth="1" min="4" max="4"/>
    <col width="16" customWidth="1" min="5" max="5"/>
    <col width="18" customWidth="1" min="6" max="6"/>
    <col width="35" customWidth="1" min="7" max="7"/>
    <col width="22" customWidth="1" min="8" max="8"/>
    <col width="18" customWidth="1" min="9" max="9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 t="inlineStr">
        <is>
          <t>PICCININI ESTUDIO S.A.</t>
        </is>
      </c>
      <c r="H5" s="11" t="inlineStr">
        <is>
          <t>Periodo a conciliar:</t>
        </is>
      </c>
      <c r="I5" s="14" t="n">
        <v>46204</v>
      </c>
    </row>
    <row r="6">
      <c r="A6" s="11" t="inlineStr">
        <is>
          <t>Banco:</t>
        </is>
      </c>
      <c r="B6" s="12" t="inlineStr">
        <is>
          <t>SANTANDER</t>
        </is>
      </c>
      <c r="H6" s="11" t="inlineStr">
        <is>
          <t>Numero de Cuenta:</t>
        </is>
      </c>
      <c r="I6" s="12" t="inlineStr">
        <is>
          <t>0000-1234/5</t>
        </is>
      </c>
    </row>
    <row r="9">
      <c r="A9" s="15" t="inlineStr">
        <is>
          <t>Fecha</t>
        </is>
      </c>
      <c r="B9" s="15" t="inlineStr">
        <is>
          <t>Documento</t>
        </is>
      </c>
      <c r="C9" s="15" t="inlineStr">
        <is>
          <t>Cuenta</t>
        </is>
      </c>
      <c r="D9" s="15" t="inlineStr">
        <is>
          <t>Debe</t>
        </is>
      </c>
      <c r="E9" s="15" t="inlineStr">
        <is>
          <t>Haber</t>
        </is>
      </c>
      <c r="F9" s="15" t="inlineStr">
        <is>
          <t>Saldo</t>
        </is>
      </c>
      <c r="G9" s="15" t="inlineStr">
        <is>
          <t>Descripción</t>
        </is>
      </c>
      <c r="H9" s="15" t="inlineStr">
        <is>
          <t>Organización</t>
        </is>
      </c>
      <c r="I9" s="15" t="inlineStr">
        <is>
          <t>Centro de Costos</t>
        </is>
      </c>
    </row>
    <row r="10">
      <c r="A10" s="16" t="n">
        <v>46203</v>
      </c>
      <c r="B10" s="17" t="inlineStr">
        <is>
          <t>Saldo Inicial</t>
        </is>
      </c>
      <c r="C10" s="17" t="n"/>
      <c r="D10" s="17" t="n"/>
      <c r="E10" s="17" t="n"/>
      <c r="F10" s="18" t="n">
        <v>1800000</v>
      </c>
      <c r="G10" s="17" t="n"/>
      <c r="H10" s="17" t="n"/>
      <c r="I10" s="17" t="n"/>
    </row>
    <row r="11">
      <c r="A11" s="19" t="n">
        <v>46204</v>
      </c>
      <c r="B11" t="inlineStr">
        <is>
          <t>FCA-0001-00000001</t>
        </is>
      </c>
      <c r="C11" t="inlineStr"/>
      <c r="D11" s="20" t="n">
        <v>1250000</v>
      </c>
      <c r="F11" s="21">
        <f>F10+D11-E11</f>
        <v/>
      </c>
      <c r="G11" t="inlineStr">
        <is>
          <t>Factura A 1001 - Cliente Norte</t>
        </is>
      </c>
      <c r="H11" t="inlineStr"/>
      <c r="I11" t="inlineStr"/>
    </row>
    <row r="12">
      <c r="A12" s="19" t="n">
        <v>46205</v>
      </c>
      <c r="B12" t="inlineStr">
        <is>
          <t>REC-0002-00000001</t>
        </is>
      </c>
      <c r="C12" t="inlineStr"/>
      <c r="E12" s="20" t="n">
        <v>1250000</v>
      </c>
      <c r="F12" s="21">
        <f>F11+D12-E12</f>
        <v/>
      </c>
      <c r="G12" t="inlineStr">
        <is>
          <t>Cobro factura A 1001</t>
        </is>
      </c>
      <c r="H12" t="inlineStr"/>
      <c r="I12" t="inlineStr"/>
    </row>
    <row r="13">
      <c r="A13" s="19" t="n">
        <v>46206</v>
      </c>
      <c r="B13" t="inlineStr">
        <is>
          <t>FCA-0001-00000002</t>
        </is>
      </c>
      <c r="C13" t="inlineStr"/>
      <c r="D13" s="20" t="n">
        <v>845000.5</v>
      </c>
      <c r="F13" s="21">
        <f>F12+D13-E13</f>
        <v/>
      </c>
      <c r="G13" t="inlineStr">
        <is>
          <t>Factura A 1002 - Cliente Sur</t>
        </is>
      </c>
      <c r="H13" t="inlineStr"/>
      <c r="I13" t="inlineStr"/>
    </row>
    <row r="14">
      <c r="A14" s="19" t="n">
        <v>46207</v>
      </c>
      <c r="B14" t="inlineStr">
        <is>
          <t>OP-0003-00000001</t>
        </is>
      </c>
      <c r="C14" t="inlineStr"/>
      <c r="E14" s="20" t="n">
        <v>320000</v>
      </c>
      <c r="F14" s="21">
        <f>F13+D14-E14</f>
        <v/>
      </c>
      <c r="G14" t="inlineStr">
        <is>
          <t>Pago proveedor Logistica SRL</t>
        </is>
      </c>
      <c r="H14" t="inlineStr"/>
      <c r="I14" t="inlineStr"/>
    </row>
    <row r="15">
      <c r="A15" s="19" t="n">
        <v>46208</v>
      </c>
      <c r="B15" t="inlineStr">
        <is>
          <t>OP-0003-00000002</t>
        </is>
      </c>
      <c r="C15" t="inlineStr"/>
      <c r="E15" s="20" t="n">
        <v>180000</v>
      </c>
      <c r="F15" s="21">
        <f>F14+D15-E15</f>
        <v/>
      </c>
      <c r="G15" t="inlineStr">
        <is>
          <t>Honorarios contables</t>
        </is>
      </c>
      <c r="H15" t="inlineStr"/>
      <c r="I15" t="inlineStr"/>
    </row>
    <row r="16">
      <c r="A16" s="19" t="n">
        <v>46211</v>
      </c>
      <c r="B16" t="inlineStr">
        <is>
          <t>ASI-0004-00000001</t>
        </is>
      </c>
      <c r="C16" t="inlineStr"/>
      <c r="D16" s="20" t="n">
        <v>15500.75</v>
      </c>
      <c r="F16" s="21">
        <f>F15+D16-E16</f>
        <v/>
      </c>
      <c r="G16" t="inlineStr">
        <is>
          <t>Comisiones bancarias</t>
        </is>
      </c>
      <c r="H16" t="inlineStr"/>
      <c r="I16" t="inlineStr"/>
    </row>
    <row r="17">
      <c r="A17" s="19" t="n">
        <v>46213</v>
      </c>
      <c r="B17" t="inlineStr">
        <is>
          <t>FCA-0001-00000003</t>
        </is>
      </c>
      <c r="C17" t="inlineStr"/>
      <c r="D17" s="20" t="n">
        <v>530000</v>
      </c>
      <c r="F17" s="21">
        <f>F16+D17-E17</f>
        <v/>
      </c>
      <c r="G17" t="inlineStr">
        <is>
          <t>Factura A 1003 - Cliente Centro</t>
        </is>
      </c>
      <c r="H17" t="inlineStr"/>
      <c r="I17" t="inlineStr"/>
    </row>
    <row r="18">
      <c r="A18" s="19" t="n">
        <v>46215</v>
      </c>
      <c r="B18" t="inlineStr">
        <is>
          <t>OP-0003-00000003</t>
        </is>
      </c>
      <c r="C18" t="inlineStr"/>
      <c r="E18" s="20" t="n">
        <v>96000</v>
      </c>
      <c r="F18" s="21">
        <f>F17+D18-E18</f>
        <v/>
      </c>
      <c r="G18" t="inlineStr">
        <is>
          <t>Transferencia seguro</t>
        </is>
      </c>
      <c r="H18" t="inlineStr"/>
      <c r="I18" t="inlineStr"/>
    </row>
    <row r="19">
      <c r="A19" s="19" t="n">
        <v>46218</v>
      </c>
      <c r="B19" t="inlineStr">
        <is>
          <t>REC-0002-00000002</t>
        </is>
      </c>
      <c r="C19" t="inlineStr"/>
      <c r="E19" s="20" t="n">
        <v>845000.5</v>
      </c>
      <c r="F19" s="21">
        <f>F18+D19-E19</f>
        <v/>
      </c>
      <c r="G19" t="inlineStr">
        <is>
          <t>Cobro factura A 1002</t>
        </is>
      </c>
      <c r="H19" t="inlineStr"/>
      <c r="I19" t="inlineStr"/>
    </row>
    <row r="20">
      <c r="A20" s="19" t="n">
        <v>46221</v>
      </c>
      <c r="B20" t="inlineStr">
        <is>
          <t>FCA-0001-00000004</t>
        </is>
      </c>
      <c r="C20" t="inlineStr"/>
      <c r="D20" s="20" t="n">
        <v>410000</v>
      </c>
      <c r="F20" s="21">
        <f>F19+D20-E20</f>
        <v/>
      </c>
      <c r="G20" t="inlineStr">
        <is>
          <t>Factura A 1004 - Cliente Norte</t>
        </is>
      </c>
      <c r="H20" t="inlineStr"/>
      <c r="I20" t="inlineStr"/>
    </row>
    <row r="21">
      <c r="A21" s="19" t="n">
        <v>46223</v>
      </c>
      <c r="B21" t="inlineStr">
        <is>
          <t>OP-0003-00000004</t>
        </is>
      </c>
      <c r="C21" t="inlineStr"/>
      <c r="E21" s="20" t="n">
        <v>250000</v>
      </c>
      <c r="F21" s="21">
        <f>F20+D21-E21</f>
        <v/>
      </c>
      <c r="G21" t="inlineStr">
        <is>
          <t>Pago alquiler oficina</t>
        </is>
      </c>
      <c r="H21" t="inlineStr"/>
      <c r="I21" t="inlineStr"/>
    </row>
    <row r="22">
      <c r="A22" s="19" t="n">
        <v>46225</v>
      </c>
      <c r="B22" t="inlineStr">
        <is>
          <t>ASI-0004-00000002</t>
        </is>
      </c>
      <c r="C22" t="inlineStr"/>
      <c r="E22" s="20" t="n">
        <v>3200.25</v>
      </c>
      <c r="F22" s="21">
        <f>F21+D22-E22</f>
        <v/>
      </c>
      <c r="G22" t="inlineStr">
        <is>
          <t>Intereses ganados</t>
        </is>
      </c>
      <c r="H22" t="inlineStr"/>
      <c r="I22" t="inlineStr"/>
    </row>
    <row r="23">
      <c r="A23" s="19" t="n">
        <v>46228</v>
      </c>
      <c r="B23" t="inlineStr">
        <is>
          <t>FCA-0001-00000005</t>
        </is>
      </c>
      <c r="C23" t="inlineStr"/>
      <c r="D23" s="20" t="n">
        <v>275000</v>
      </c>
      <c r="F23" s="21">
        <f>F22+D23-E23</f>
        <v/>
      </c>
      <c r="G23" t="inlineStr">
        <is>
          <t>Factura A 1005 - Cliente Sur</t>
        </is>
      </c>
      <c r="H23" t="inlineStr"/>
      <c r="I23" t="inlineStr"/>
    </row>
    <row r="24">
      <c r="A24" s="19" t="n">
        <v>46231</v>
      </c>
      <c r="B24" t="inlineStr">
        <is>
          <t>OP-0003-00000005</t>
        </is>
      </c>
      <c r="C24" t="inlineStr"/>
      <c r="E24" s="20" t="n">
        <v>198000</v>
      </c>
      <c r="F24" s="21">
        <f>F23+D24-E24</f>
        <v/>
      </c>
      <c r="G24" t="inlineStr">
        <is>
          <t>Pago proveedor Insumos SA</t>
        </is>
      </c>
      <c r="H24" t="inlineStr"/>
      <c r="I24" t="inlineStr"/>
    </row>
    <row r="25">
      <c r="A25" s="19" t="n">
        <v>46233</v>
      </c>
      <c r="B25" t="inlineStr">
        <is>
          <t>REC-0002-00000003</t>
        </is>
      </c>
      <c r="C25" t="inlineStr"/>
      <c r="E25" s="22" t="n">
        <v>530000</v>
      </c>
      <c r="F25" s="21">
        <f>F24+D25-E25</f>
        <v/>
      </c>
      <c r="G25" t="inlineStr">
        <is>
          <t>Cobro factura A 1003</t>
        </is>
      </c>
      <c r="H25" t="inlineStr"/>
      <c r="I25" t="inlineStr"/>
    </row>
  </sheetData>
  <mergeCells count="2">
    <mergeCell ref="A1:B3"/>
    <mergeCell ref="C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18" customWidth="1" min="3" max="3"/>
    <col width="18" customWidth="1" min="4" max="4"/>
    <col width="18" customWidth="1" min="5" max="5"/>
    <col width="16" customWidth="1" min="9" max="9"/>
    <col width="18" customWidth="1" min="10" max="10"/>
    <col width="18" customWidth="1" min="11" max="11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>
        <f>+'Libro Mayor'!B5</f>
        <v/>
      </c>
      <c r="H5" s="11" t="inlineStr">
        <is>
          <t>Periodo a conciliar:</t>
        </is>
      </c>
      <c r="I5" s="14">
        <f>+'Libro Mayor'!I5</f>
        <v/>
      </c>
    </row>
    <row r="6">
      <c r="A6" s="11" t="inlineStr">
        <is>
          <t>Banco:</t>
        </is>
      </c>
      <c r="B6" s="12">
        <f>+'Libro Mayor'!B6</f>
        <v/>
      </c>
      <c r="H6" s="11" t="inlineStr">
        <is>
          <t>Numero de Cuenta:</t>
        </is>
      </c>
      <c r="I6" s="12">
        <f>+'Libro Mayor'!I6</f>
        <v/>
      </c>
    </row>
    <row r="8">
      <c r="A8" s="15" t="inlineStr">
        <is>
          <t>Fecha contable</t>
        </is>
      </c>
      <c r="B8" s="15" t="inlineStr">
        <is>
          <t>Concepto</t>
        </is>
      </c>
      <c r="C8" s="15" t="inlineStr">
        <is>
          <t>Debito en $</t>
        </is>
      </c>
      <c r="D8" s="15" t="inlineStr">
        <is>
          <t>Credito en $</t>
        </is>
      </c>
      <c r="E8" s="15" t="inlineStr">
        <is>
          <t>Saldo en $</t>
        </is>
      </c>
      <c r="I8" s="23" t="inlineStr">
        <is>
          <t>Concepto</t>
        </is>
      </c>
      <c r="J8" s="23" t="inlineStr">
        <is>
          <t>Suma Crédito</t>
        </is>
      </c>
      <c r="K8" s="23" t="inlineStr">
        <is>
          <t>Suma Débito</t>
        </is>
      </c>
    </row>
    <row r="9">
      <c r="A9" s="17" t="n"/>
      <c r="B9" s="17" t="inlineStr">
        <is>
          <t>Saldo Inicial</t>
        </is>
      </c>
      <c r="C9" s="17" t="n"/>
      <c r="D9" s="17" t="n"/>
      <c r="E9" s="18" t="n">
        <v>2916950.75</v>
      </c>
      <c r="I9" t="inlineStr">
        <is>
          <t>IMPUESTO LEY 25413</t>
        </is>
      </c>
      <c r="J9" s="24" t="n"/>
      <c r="K9" s="24" t="n">
        <v>9250</v>
      </c>
    </row>
    <row r="10">
      <c r="A10" s="19" t="n">
        <v>46204</v>
      </c>
      <c r="B10" t="inlineStr">
        <is>
          <t>SALDO INICIAL</t>
        </is>
      </c>
      <c r="E10" s="21">
        <f>E9+D10+C10</f>
        <v/>
      </c>
      <c r="I10" t="inlineStr">
        <is>
          <t>COMISION MANTENIMIENTO</t>
        </is>
      </c>
      <c r="J10" s="24" t="n"/>
      <c r="K10" s="24" t="n">
        <v>4800</v>
      </c>
    </row>
    <row r="11">
      <c r="A11" s="19" t="n">
        <v>46205</v>
      </c>
      <c r="B11" t="inlineStr">
        <is>
          <t>TRANSFERENCIA RECIBIDA CLIENTE NORTE</t>
        </is>
      </c>
      <c r="D11" s="20" t="n">
        <v>1250000</v>
      </c>
      <c r="E11" s="21">
        <f>E10+D11+C11</f>
        <v/>
      </c>
      <c r="I11" t="inlineStr">
        <is>
          <t>TOTAL</t>
        </is>
      </c>
      <c r="J11" s="25" t="n"/>
      <c r="K11" s="25" t="n">
        <v>14050</v>
      </c>
    </row>
    <row r="12">
      <c r="A12" s="19" t="n">
        <v>46207</v>
      </c>
      <c r="B12" t="inlineStr">
        <is>
          <t>PAGO PROVEEDOR LOGISTICA SRL</t>
        </is>
      </c>
      <c r="C12" s="20" t="n">
        <v>-320000</v>
      </c>
      <c r="E12" s="21">
        <f>E11+D12+C12</f>
        <v/>
      </c>
    </row>
    <row r="13">
      <c r="A13" s="19" t="n">
        <v>46210</v>
      </c>
      <c r="B13" t="inlineStr">
        <is>
          <t>DEBITO AUTOMATICO EDESUR</t>
        </is>
      </c>
      <c r="C13" s="20" t="n">
        <v>-48200</v>
      </c>
      <c r="E13" s="21">
        <f>E12+D13+C13</f>
        <v/>
      </c>
    </row>
    <row r="14">
      <c r="A14" s="19" t="n">
        <v>46213</v>
      </c>
      <c r="B14" t="inlineStr">
        <is>
          <t>TRANSFERENCIA RECIBIDA CLIENTE CENTRO</t>
        </is>
      </c>
      <c r="D14" s="20" t="n">
        <v>530000</v>
      </c>
      <c r="E14" s="21">
        <f>E13+D14+C14</f>
        <v/>
      </c>
    </row>
    <row r="15">
      <c r="A15" s="19" t="n">
        <v>46215</v>
      </c>
      <c r="B15" t="inlineStr">
        <is>
          <t>TRANSFERENCIA SEGURO</t>
        </is>
      </c>
      <c r="C15" s="20" t="n">
        <v>-96000</v>
      </c>
      <c r="E15" s="21">
        <f>E14+D15+C15</f>
        <v/>
      </c>
    </row>
    <row r="16">
      <c r="A16" s="19" t="n">
        <v>46218</v>
      </c>
      <c r="B16" t="inlineStr">
        <is>
          <t>TRANSFERENCIA RECIBIDA CLIENTE SUR</t>
        </is>
      </c>
      <c r="D16" s="20" t="n">
        <v>845000.5</v>
      </c>
      <c r="E16" s="21">
        <f>E15+D16+C16</f>
        <v/>
      </c>
    </row>
    <row r="17">
      <c r="A17" s="19" t="n">
        <v>46221</v>
      </c>
      <c r="B17" t="inlineStr">
        <is>
          <t>DEPOSITO EFECTIVO</t>
        </is>
      </c>
      <c r="D17" s="20" t="n">
        <v>410000</v>
      </c>
      <c r="E17" s="21">
        <f>E16+D17+C17</f>
        <v/>
      </c>
    </row>
    <row r="18">
      <c r="A18" s="19" t="n">
        <v>46223</v>
      </c>
      <c r="B18" t="inlineStr">
        <is>
          <t>TRANSFERENCIA ALQUILER OFICINA</t>
        </is>
      </c>
      <c r="C18" s="20" t="n">
        <v>-250000</v>
      </c>
      <c r="E18" s="21">
        <f>E17+D18+C18</f>
        <v/>
      </c>
    </row>
    <row r="19">
      <c r="A19" s="19" t="n">
        <v>46225</v>
      </c>
      <c r="B19" t="inlineStr">
        <is>
          <t>ACREDITACION INTERESES</t>
        </is>
      </c>
      <c r="D19" s="20" t="n">
        <v>3200.25</v>
      </c>
      <c r="E19" s="21">
        <f>E18+D19+C19</f>
        <v/>
      </c>
    </row>
    <row r="20">
      <c r="A20" s="19" t="n">
        <v>46228</v>
      </c>
      <c r="B20" t="inlineStr">
        <is>
          <t>TRANSFERENCIA RECIBIDA CLIENTE SUR</t>
        </is>
      </c>
      <c r="D20" s="20" t="n">
        <v>275000</v>
      </c>
      <c r="E20" s="21">
        <f>E19+D20+C20</f>
        <v/>
      </c>
    </row>
    <row r="21">
      <c r="A21" s="19" t="n">
        <v>46231</v>
      </c>
      <c r="B21" t="inlineStr">
        <is>
          <t>PAGO PROVEEDOR INSUMOS SA</t>
        </is>
      </c>
      <c r="C21" s="20" t="n">
        <v>-198000</v>
      </c>
      <c r="E21" s="21">
        <f>E20+D21+C21</f>
        <v/>
      </c>
    </row>
    <row r="22">
      <c r="A22" s="19" t="n">
        <v>46233</v>
      </c>
      <c r="B22" t="inlineStr">
        <is>
          <t>TRANSFERENCIA RECIBIDA CLIENTE CENTRO</t>
        </is>
      </c>
      <c r="D22" s="20" t="n">
        <v>530000</v>
      </c>
      <c r="E22" s="21">
        <f>E21+D22+C22</f>
        <v/>
      </c>
    </row>
    <row r="23">
      <c r="A23" s="19" t="n">
        <v>46234</v>
      </c>
      <c r="B23" t="inlineStr">
        <is>
          <t>COMISION MANTENIMIENTO</t>
        </is>
      </c>
      <c r="C23" s="22" t="n">
        <v>-4800</v>
      </c>
      <c r="E23" s="21">
        <f>E22+D23+C23</f>
        <v/>
      </c>
    </row>
    <row r="24">
      <c r="A24" s="19" t="n">
        <v>46234</v>
      </c>
      <c r="B24" t="inlineStr">
        <is>
          <t>IMPUESTO LEY 25413</t>
        </is>
      </c>
      <c r="C24" s="22" t="n">
        <v>-9250</v>
      </c>
      <c r="E24" s="21">
        <f>E23+D24+C24</f>
        <v/>
      </c>
    </row>
  </sheetData>
  <autoFilter ref="A8:E24"/>
  <mergeCells count="2">
    <mergeCell ref="A1:B3"/>
    <mergeCell ref="C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2026-10-13T18:20:46Z</dcterms:created>
  <dcterms:modified xsi:type="dcterms:W3CDTF">2026-10-14T17:53:18Z</dcterms:modified>
</cp:coreProperties>
</file>