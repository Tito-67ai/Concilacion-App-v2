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ayor" sheetId="1" state="visible" r:id="rId1"/>
    <sheet name="Movimientos Banc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name val="Calibri"/>
      <b val="1"/>
      <sz val="2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93C47D"/>
      </patternFill>
    </fill>
  </fills>
  <borders count="13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</border>
    <border>
      <left style="medium"/>
      <right style="medium"/>
    </border>
    <border>
      <left style="medium"/>
      <right style="medium"/>
      <bottom style="medium"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1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165" fontId="0" fillId="0" borderId="11" applyAlignment="1" pivotButton="0" quotePrefix="0" xfId="0">
      <alignment horizontal="center" vertical="center"/>
    </xf>
    <xf numFmtId="165" fontId="0" fillId="0" borderId="11" applyAlignment="1" pivotButton="0" quotePrefix="0" xfId="0">
      <alignment horizontal="center"/>
    </xf>
    <xf numFmtId="0" fontId="2" fillId="2" borderId="12" applyAlignment="1" pivotButton="0" quotePrefix="0" xfId="0">
      <alignment horizontal="center"/>
    </xf>
    <xf numFmtId="164" fontId="0" fillId="0" borderId="0" applyAlignment="1" pivotButton="0" quotePrefix="0" xfId="0">
      <alignment horizontal="right" shrinkToFit="1"/>
    </xf>
    <xf numFmtId="0" fontId="2" fillId="0" borderId="0" pivotButton="0" quotePrefix="0" xfId="0"/>
    <xf numFmtId="166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0" applyAlignment="1" pivotButton="0" quotePrefix="0" xfId="0">
      <alignment horizontal="right" shrinkToFit="1"/>
    </xf>
    <xf numFmtId="0" fontId="0" fillId="0" borderId="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164" fontId="0" fillId="0" borderId="11" applyAlignment="1" pivotButton="0" quotePrefix="0" xfId="0">
      <alignment horizontal="right" shrinkToFit="1"/>
    </xf>
    <xf numFmtId="164" fontId="0" fillId="4" borderId="0" applyAlignment="1" pivotButton="0" quotePrefix="0" xfId="0">
      <alignment horizontal="right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8" customWidth="1" min="5" max="5"/>
    <col width="20" customWidth="1" min="6" max="6"/>
    <col width="40" customWidth="1" min="7" max="7"/>
    <col width="22" customWidth="1" min="8" max="8"/>
    <col width="18" customWidth="1" min="9" max="9"/>
  </cols>
  <sheetData>
    <row r="1" ht="20" customHeight="1">
      <c r="A1" s="1" t="n"/>
      <c r="B1" s="2" t="n"/>
      <c r="I1" s="3" t="inlineStr">
        <is>
          <t>FO 02-03</t>
        </is>
      </c>
    </row>
    <row r="2" ht="30" customHeight="1">
      <c r="A2" s="4" t="n"/>
      <c r="B2" s="5" t="n"/>
      <c r="C2" s="6" t="inlineStr">
        <is>
          <t>Papeles de Trabajo Conciliación Bancaria</t>
        </is>
      </c>
      <c r="H2" s="5" t="n"/>
      <c r="I2" s="7" t="inlineStr">
        <is>
          <t>Rev 0</t>
        </is>
      </c>
    </row>
    <row r="3" ht="20" customHeight="1">
      <c r="A3" s="8" t="n"/>
      <c r="B3" s="9" t="n"/>
      <c r="I3" s="10" t="inlineStr">
        <is>
          <t>Vigencia: 05/12/2023</t>
        </is>
      </c>
    </row>
    <row r="5">
      <c r="A5" s="11" t="inlineStr">
        <is>
          <t>Empresa:</t>
        </is>
      </c>
      <c r="B5" s="12" t="inlineStr">
        <is>
          <t>PICCININI ESTUDIO S.A.</t>
        </is>
      </c>
      <c r="H5" s="11" t="inlineStr">
        <is>
          <t>Periodo a conciliar:</t>
        </is>
      </c>
      <c r="I5" s="14" t="n">
        <v>46204</v>
      </c>
    </row>
    <row r="6">
      <c r="A6" s="11" t="inlineStr">
        <is>
          <t>Banco:</t>
        </is>
      </c>
      <c r="B6" s="12" t="inlineStr">
        <is>
          <t>SANTANDER</t>
        </is>
      </c>
      <c r="H6" s="11" t="inlineStr">
        <is>
          <t>Numero de Cuenta:</t>
        </is>
      </c>
      <c r="I6" s="12" t="inlineStr">
        <is>
          <t>0000-1234/5</t>
        </is>
      </c>
    </row>
    <row r="8">
      <c r="A8" s="15" t="inlineStr">
        <is>
          <t>Fecha</t>
        </is>
      </c>
      <c r="B8" s="15" t="inlineStr">
        <is>
          <t>Documento</t>
        </is>
      </c>
      <c r="C8" s="15" t="inlineStr">
        <is>
          <t>Cuenta</t>
        </is>
      </c>
      <c r="D8" s="15" t="inlineStr">
        <is>
          <t>Debe</t>
        </is>
      </c>
      <c r="E8" s="15" t="inlineStr">
        <is>
          <t>Haber</t>
        </is>
      </c>
      <c r="F8" s="15" t="inlineStr">
        <is>
          <t>Saldo</t>
        </is>
      </c>
      <c r="G8" s="15" t="inlineStr">
        <is>
          <t>Descripción</t>
        </is>
      </c>
      <c r="H8" s="15" t="inlineStr">
        <is>
          <t>Organización</t>
        </is>
      </c>
      <c r="I8" s="15" t="inlineStr">
        <is>
          <t>Centro de Costos</t>
        </is>
      </c>
    </row>
    <row r="9">
      <c r="F9" s="16" t="n">
        <v>1800000</v>
      </c>
      <c r="G9" s="17" t="inlineStr">
        <is>
          <t>Saldo Inicial</t>
        </is>
      </c>
    </row>
    <row r="10">
      <c r="A10" s="18" t="n">
        <v>46204</v>
      </c>
      <c r="B10" s="19" t="inlineStr">
        <is>
          <t>FCA-0001-00000001</t>
        </is>
      </c>
      <c r="C10" s="19" t="inlineStr"/>
      <c r="D10" s="20" t="n">
        <v>1250000</v>
      </c>
      <c r="E10" s="16" t="n">
        <v>0</v>
      </c>
      <c r="F10" s="16">
        <f>F9+D10-E10</f>
        <v/>
      </c>
      <c r="G10" s="21" t="inlineStr">
        <is>
          <t>Factura A 1001 - Cliente Norte</t>
        </is>
      </c>
      <c r="H10" s="21" t="inlineStr"/>
      <c r="I10" s="21" t="inlineStr"/>
    </row>
    <row r="11">
      <c r="A11" s="18" t="n">
        <v>46205</v>
      </c>
      <c r="B11" s="19" t="inlineStr">
        <is>
          <t>REC-0002-00000001</t>
        </is>
      </c>
      <c r="C11" s="19" t="inlineStr"/>
      <c r="D11" s="16" t="n">
        <v>0</v>
      </c>
      <c r="E11" s="20" t="n">
        <v>1250000</v>
      </c>
      <c r="F11" s="16">
        <f>F10+D11-E11</f>
        <v/>
      </c>
      <c r="G11" s="21" t="inlineStr">
        <is>
          <t>Cobro factura A 1001</t>
        </is>
      </c>
      <c r="H11" s="21" t="inlineStr"/>
      <c r="I11" s="21" t="inlineStr"/>
    </row>
    <row r="12">
      <c r="A12" s="18" t="n">
        <v>46206</v>
      </c>
      <c r="B12" s="19" t="inlineStr">
        <is>
          <t>FCA-0001-00000002</t>
        </is>
      </c>
      <c r="C12" s="19" t="inlineStr"/>
      <c r="D12" s="20" t="n">
        <v>845000.5</v>
      </c>
      <c r="E12" s="16" t="n">
        <v>0</v>
      </c>
      <c r="F12" s="16">
        <f>F11+D12-E12</f>
        <v/>
      </c>
      <c r="G12" s="21" t="inlineStr">
        <is>
          <t>Factura A 1002 - Cliente Sur</t>
        </is>
      </c>
      <c r="H12" s="21" t="inlineStr"/>
      <c r="I12" s="21" t="inlineStr"/>
    </row>
    <row r="13">
      <c r="A13" s="18" t="n">
        <v>46207</v>
      </c>
      <c r="B13" s="19" t="inlineStr">
        <is>
          <t>OP-0003-00000001</t>
        </is>
      </c>
      <c r="C13" s="19" t="inlineStr"/>
      <c r="D13" s="16" t="n">
        <v>0</v>
      </c>
      <c r="E13" s="20" t="n">
        <v>320000</v>
      </c>
      <c r="F13" s="16">
        <f>F12+D13-E13</f>
        <v/>
      </c>
      <c r="G13" s="21" t="inlineStr">
        <is>
          <t>Pago proveedor Logistica SRL</t>
        </is>
      </c>
      <c r="H13" s="21" t="inlineStr"/>
      <c r="I13" s="21" t="inlineStr"/>
    </row>
    <row r="14">
      <c r="A14" s="18" t="n">
        <v>46208</v>
      </c>
      <c r="B14" s="19" t="inlineStr">
        <is>
          <t>OP-0003-00000002</t>
        </is>
      </c>
      <c r="C14" s="19" t="inlineStr"/>
      <c r="D14" s="16" t="n">
        <v>0</v>
      </c>
      <c r="E14" s="20" t="n">
        <v>180000</v>
      </c>
      <c r="F14" s="16">
        <f>F13+D14-E14</f>
        <v/>
      </c>
      <c r="G14" s="21" t="inlineStr">
        <is>
          <t>Honorarios contables</t>
        </is>
      </c>
      <c r="H14" s="21" t="inlineStr"/>
      <c r="I14" s="21" t="inlineStr"/>
    </row>
    <row r="15">
      <c r="A15" s="18" t="n">
        <v>46211</v>
      </c>
      <c r="B15" s="19" t="inlineStr">
        <is>
          <t>ASI-0004-00000001</t>
        </is>
      </c>
      <c r="C15" s="19" t="inlineStr"/>
      <c r="D15" s="20" t="n">
        <v>15500.75</v>
      </c>
      <c r="E15" s="16" t="n">
        <v>0</v>
      </c>
      <c r="F15" s="16">
        <f>F14+D15-E15</f>
        <v/>
      </c>
      <c r="G15" s="21" t="inlineStr">
        <is>
          <t>Comisiones bancarias</t>
        </is>
      </c>
      <c r="H15" s="21" t="inlineStr"/>
      <c r="I15" s="21" t="inlineStr"/>
    </row>
    <row r="16">
      <c r="A16" s="18" t="n">
        <v>46213</v>
      </c>
      <c r="B16" s="19" t="inlineStr">
        <is>
          <t>FCA-0001-00000003</t>
        </is>
      </c>
      <c r="C16" s="19" t="inlineStr"/>
      <c r="D16" s="20" t="n">
        <v>530000</v>
      </c>
      <c r="E16" s="16" t="n">
        <v>0</v>
      </c>
      <c r="F16" s="16">
        <f>F15+D16-E16</f>
        <v/>
      </c>
      <c r="G16" s="21" t="inlineStr">
        <is>
          <t>Factura A 1003 - Cliente Centro</t>
        </is>
      </c>
      <c r="H16" s="21" t="inlineStr"/>
      <c r="I16" s="21" t="inlineStr"/>
    </row>
    <row r="17">
      <c r="A17" s="18" t="n">
        <v>46215</v>
      </c>
      <c r="B17" s="19" t="inlineStr">
        <is>
          <t>OP-0003-00000003</t>
        </is>
      </c>
      <c r="C17" s="19" t="inlineStr"/>
      <c r="D17" s="16" t="n">
        <v>0</v>
      </c>
      <c r="E17" s="20" t="n">
        <v>96000</v>
      </c>
      <c r="F17" s="16">
        <f>F16+D17-E17</f>
        <v/>
      </c>
      <c r="G17" s="21" t="inlineStr">
        <is>
          <t>Transferencia seguro</t>
        </is>
      </c>
      <c r="H17" s="21" t="inlineStr"/>
      <c r="I17" s="21" t="inlineStr"/>
    </row>
    <row r="18">
      <c r="A18" s="18" t="n">
        <v>46218</v>
      </c>
      <c r="B18" s="19" t="inlineStr">
        <is>
          <t>REC-0002-00000002</t>
        </is>
      </c>
      <c r="C18" s="19" t="inlineStr"/>
      <c r="D18" s="16" t="n">
        <v>0</v>
      </c>
      <c r="E18" s="20" t="n">
        <v>845000.5</v>
      </c>
      <c r="F18" s="16">
        <f>F17+D18-E18</f>
        <v/>
      </c>
      <c r="G18" s="21" t="inlineStr">
        <is>
          <t>Cobro factura A 1002</t>
        </is>
      </c>
      <c r="H18" s="21" t="inlineStr"/>
      <c r="I18" s="21" t="inlineStr"/>
    </row>
    <row r="19">
      <c r="A19" s="18" t="n">
        <v>46221</v>
      </c>
      <c r="B19" s="19" t="inlineStr">
        <is>
          <t>FCA-0001-00000004</t>
        </is>
      </c>
      <c r="C19" s="19" t="inlineStr"/>
      <c r="D19" s="20" t="n">
        <v>410000</v>
      </c>
      <c r="E19" s="16" t="n">
        <v>0</v>
      </c>
      <c r="F19" s="16">
        <f>F18+D19-E19</f>
        <v/>
      </c>
      <c r="G19" s="21" t="inlineStr">
        <is>
          <t>Factura A 1004 - Cliente Norte</t>
        </is>
      </c>
      <c r="H19" s="21" t="inlineStr"/>
      <c r="I19" s="21" t="inlineStr"/>
    </row>
    <row r="20">
      <c r="A20" s="18" t="n">
        <v>46223</v>
      </c>
      <c r="B20" s="19" t="inlineStr">
        <is>
          <t>OP-0003-00000004</t>
        </is>
      </c>
      <c r="C20" s="19" t="inlineStr"/>
      <c r="D20" s="16" t="n">
        <v>0</v>
      </c>
      <c r="E20" s="20" t="n">
        <v>250000</v>
      </c>
      <c r="F20" s="16">
        <f>F19+D20-E20</f>
        <v/>
      </c>
      <c r="G20" s="21" t="inlineStr">
        <is>
          <t>Pago alquiler oficina</t>
        </is>
      </c>
      <c r="H20" s="21" t="inlineStr"/>
      <c r="I20" s="21" t="inlineStr"/>
    </row>
    <row r="21">
      <c r="A21" s="18" t="n">
        <v>46225</v>
      </c>
      <c r="B21" s="19" t="inlineStr">
        <is>
          <t>ASI-0004-00000002</t>
        </is>
      </c>
      <c r="C21" s="19" t="inlineStr"/>
      <c r="D21" s="16" t="n">
        <v>0</v>
      </c>
      <c r="E21" s="20" t="n">
        <v>3200.25</v>
      </c>
      <c r="F21" s="16">
        <f>F20+D21-E21</f>
        <v/>
      </c>
      <c r="G21" s="21" t="inlineStr">
        <is>
          <t>Intereses ganados</t>
        </is>
      </c>
      <c r="H21" s="21" t="inlineStr"/>
      <c r="I21" s="21" t="inlineStr"/>
    </row>
    <row r="22">
      <c r="A22" s="18" t="n">
        <v>46228</v>
      </c>
      <c r="B22" s="19" t="inlineStr">
        <is>
          <t>FCA-0001-00000005</t>
        </is>
      </c>
      <c r="C22" s="19" t="inlineStr"/>
      <c r="D22" s="20" t="n">
        <v>275000</v>
      </c>
      <c r="E22" s="16" t="n">
        <v>0</v>
      </c>
      <c r="F22" s="16">
        <f>F21+D22-E22</f>
        <v/>
      </c>
      <c r="G22" s="21" t="inlineStr">
        <is>
          <t>Factura A 1005 - Cliente Sur</t>
        </is>
      </c>
      <c r="H22" s="21" t="inlineStr"/>
      <c r="I22" s="21" t="inlineStr"/>
    </row>
    <row r="23">
      <c r="A23" s="18" t="n">
        <v>46231</v>
      </c>
      <c r="B23" s="19" t="inlineStr">
        <is>
          <t>OP-0003-00000005</t>
        </is>
      </c>
      <c r="C23" s="19" t="inlineStr"/>
      <c r="D23" s="16" t="n">
        <v>0</v>
      </c>
      <c r="E23" s="20" t="n">
        <v>198000</v>
      </c>
      <c r="F23" s="16">
        <f>F22+D23-E23</f>
        <v/>
      </c>
      <c r="G23" s="21" t="inlineStr">
        <is>
          <t>Pago proveedor Insumos SA</t>
        </is>
      </c>
      <c r="H23" s="21" t="inlineStr"/>
      <c r="I23" s="21" t="inlineStr"/>
    </row>
    <row r="24">
      <c r="A24" s="18" t="n">
        <v>46233</v>
      </c>
      <c r="B24" s="19" t="inlineStr">
        <is>
          <t>REC-0002-00000003</t>
        </is>
      </c>
      <c r="C24" s="19" t="inlineStr"/>
      <c r="D24" s="16" t="n">
        <v>0</v>
      </c>
      <c r="E24" s="16" t="n">
        <v>530000</v>
      </c>
      <c r="F24" s="16">
        <f>F23+D24-E24</f>
        <v/>
      </c>
      <c r="G24" s="21" t="inlineStr">
        <is>
          <t>Cobro factura A 1003</t>
        </is>
      </c>
      <c r="H24" s="21" t="inlineStr"/>
      <c r="I24" s="21" t="inlineStr"/>
    </row>
    <row r="26">
      <c r="A26" s="17" t="inlineStr">
        <is>
          <t>Partidas contables no registradas en banco.</t>
        </is>
      </c>
    </row>
    <row r="27">
      <c r="A27" s="15" t="inlineStr">
        <is>
          <t>Fecha</t>
        </is>
      </c>
      <c r="B27" s="15" t="inlineStr">
        <is>
          <t>Documento</t>
        </is>
      </c>
      <c r="C27" s="15" t="inlineStr">
        <is>
          <t>Cuenta</t>
        </is>
      </c>
      <c r="D27" s="15" t="inlineStr">
        <is>
          <t>Debe</t>
        </is>
      </c>
      <c r="E27" s="15" t="inlineStr">
        <is>
          <t>Haber</t>
        </is>
      </c>
      <c r="F27" s="15" t="inlineStr">
        <is>
          <t>Saldo</t>
        </is>
      </c>
      <c r="G27" s="15" t="inlineStr">
        <is>
          <t>Descripción</t>
        </is>
      </c>
      <c r="H27" s="15" t="inlineStr">
        <is>
          <t>Organización</t>
        </is>
      </c>
    </row>
    <row r="28">
      <c r="A28" s="18" t="n">
        <v>46233</v>
      </c>
      <c r="B28" s="19" t="inlineStr">
        <is>
          <t>REC-0002-00000003</t>
        </is>
      </c>
      <c r="C28" s="19" t="inlineStr"/>
      <c r="D28" s="16" t="n">
        <v>0</v>
      </c>
      <c r="E28" s="16" t="n">
        <v>530000</v>
      </c>
      <c r="F28" s="16">
        <f>D28-E28</f>
        <v/>
      </c>
      <c r="G28" s="21" t="inlineStr">
        <is>
          <t>Cobro factura A 1003</t>
        </is>
      </c>
      <c r="H28" s="21" t="inlineStr"/>
    </row>
    <row r="29">
      <c r="A29" s="18" t="n">
        <v>46234</v>
      </c>
      <c r="B29" s="19" t="inlineStr">
        <is>
          <t>FCA-0001-00000006</t>
        </is>
      </c>
      <c r="C29" s="19" t="inlineStr"/>
      <c r="D29" s="16" t="n">
        <v>620000</v>
      </c>
      <c r="E29" s="16" t="n">
        <v>0</v>
      </c>
      <c r="F29" s="16">
        <f>F28+D29-E29</f>
        <v/>
      </c>
      <c r="G29" s="21" t="inlineStr">
        <is>
          <t>Factura A 1006 - pendiente de cobro</t>
        </is>
      </c>
      <c r="H29" s="21" t="inlineStr"/>
    </row>
    <row r="31">
      <c r="A31" s="17" t="inlineStr">
        <is>
          <t>Partidas en banco pendientes de registración contable.</t>
        </is>
      </c>
    </row>
    <row r="32">
      <c r="A32" s="15" t="inlineStr">
        <is>
          <t>Fecha</t>
        </is>
      </c>
      <c r="B32" s="15" t="inlineStr">
        <is>
          <t>Documento</t>
        </is>
      </c>
      <c r="C32" s="15" t="inlineStr">
        <is>
          <t>Cuenta</t>
        </is>
      </c>
      <c r="D32" s="15" t="inlineStr">
        <is>
          <t>Debe</t>
        </is>
      </c>
      <c r="E32" s="15" t="inlineStr">
        <is>
          <t>Haber</t>
        </is>
      </c>
      <c r="F32" s="15" t="inlineStr">
        <is>
          <t>Saldo</t>
        </is>
      </c>
      <c r="G32" s="15" t="inlineStr">
        <is>
          <t>Descripción</t>
        </is>
      </c>
    </row>
    <row r="33">
      <c r="A33" s="18" t="n">
        <v>46234</v>
      </c>
      <c r="B33" s="19" t="inlineStr">
        <is>
          <t>IMP-0001</t>
        </is>
      </c>
      <c r="C33" s="19" t="inlineStr"/>
      <c r="D33" s="21" t="n"/>
      <c r="E33" s="16" t="n">
        <v>9250</v>
      </c>
      <c r="F33" s="16">
        <f>F32+D33-E33</f>
        <v/>
      </c>
      <c r="G33" s="21" t="inlineStr">
        <is>
          <t>IMPUESTO LEY 25413</t>
        </is>
      </c>
    </row>
    <row r="34">
      <c r="A34" s="18" t="n">
        <v>46234</v>
      </c>
      <c r="B34" s="19" t="inlineStr">
        <is>
          <t>COM-0002</t>
        </is>
      </c>
      <c r="C34" s="19" t="inlineStr"/>
      <c r="D34" s="21" t="n"/>
      <c r="E34" s="16" t="n">
        <v>4800</v>
      </c>
      <c r="F34" s="16">
        <f>F33+D34-E34</f>
        <v/>
      </c>
      <c r="G34" s="21" t="inlineStr">
        <is>
          <t>COMISION MANTENIMIENTO</t>
        </is>
      </c>
    </row>
    <row r="35">
      <c r="A35" s="17" t="inlineStr">
        <is>
          <t>Total gastos e impuestos pendientes</t>
        </is>
      </c>
      <c r="E35" s="16">
        <f>SUM(E33:E34)</f>
        <v/>
      </c>
    </row>
    <row r="37">
      <c r="A37" s="17" t="inlineStr">
        <is>
          <t>Saldo Ajustado</t>
        </is>
      </c>
      <c r="F37" s="16">
        <f>F24</f>
        <v/>
      </c>
    </row>
    <row r="38">
      <c r="A38" s="17" t="inlineStr">
        <is>
          <t>Saldo según Extracto</t>
        </is>
      </c>
      <c r="F38" s="16" t="n">
        <v>2916950.75</v>
      </c>
    </row>
    <row r="39">
      <c r="A39" s="17" t="inlineStr">
        <is>
          <t>Control de diferencia</t>
        </is>
      </c>
      <c r="F39" s="16">
        <f>F37-F38</f>
        <v/>
      </c>
    </row>
  </sheetData>
  <mergeCells count="2">
    <mergeCell ref="A1:B3"/>
    <mergeCell ref="C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8" customWidth="1" min="4" max="4"/>
    <col width="20" customWidth="1" min="5" max="5"/>
    <col width="16" customWidth="1" min="7" max="7"/>
    <col width="18" customWidth="1" min="8" max="8"/>
  </cols>
  <sheetData>
    <row r="1" ht="20" customHeight="1">
      <c r="A1" s="1" t="n"/>
      <c r="B1" s="2" t="n"/>
      <c r="I1" s="3" t="inlineStr">
        <is>
          <t>FO 02-03</t>
        </is>
      </c>
    </row>
    <row r="2" ht="30" customHeight="1">
      <c r="A2" s="4" t="n"/>
      <c r="B2" s="5" t="n"/>
      <c r="C2" s="6" t="inlineStr">
        <is>
          <t>Papeles de Trabajo Conciliación Bancaria</t>
        </is>
      </c>
      <c r="H2" s="5" t="n"/>
      <c r="I2" s="7" t="inlineStr">
        <is>
          <t>Rev 0</t>
        </is>
      </c>
    </row>
    <row r="3" ht="20" customHeight="1">
      <c r="A3" s="8" t="n"/>
      <c r="B3" s="9" t="n"/>
      <c r="I3" s="10" t="inlineStr">
        <is>
          <t>Vigencia: 05/12/2023</t>
        </is>
      </c>
    </row>
    <row r="5">
      <c r="A5" s="11" t="inlineStr">
        <is>
          <t>Empresa:</t>
        </is>
      </c>
      <c r="B5" s="12">
        <f>+'Libro Mayor'!B5</f>
        <v/>
      </c>
      <c r="H5" s="11" t="inlineStr">
        <is>
          <t>Periodo a conciliar:</t>
        </is>
      </c>
      <c r="I5" s="14">
        <f>+'Libro Mayor'!I5</f>
        <v/>
      </c>
    </row>
    <row r="6">
      <c r="A6" s="11" t="inlineStr">
        <is>
          <t>Banco:</t>
        </is>
      </c>
      <c r="B6" s="12">
        <f>+'Libro Mayor'!B6</f>
        <v/>
      </c>
      <c r="H6" s="11" t="inlineStr">
        <is>
          <t>Numero de Cuenta:</t>
        </is>
      </c>
      <c r="I6" s="12">
        <f>+'Libro Mayor'!I6</f>
        <v/>
      </c>
    </row>
    <row r="8">
      <c r="A8" s="15" t="inlineStr">
        <is>
          <t>Fecha contable</t>
        </is>
      </c>
      <c r="B8" s="15" t="inlineStr">
        <is>
          <t>Concepto</t>
        </is>
      </c>
      <c r="C8" s="15" t="inlineStr">
        <is>
          <t>Debito en $</t>
        </is>
      </c>
      <c r="D8" s="15" t="inlineStr">
        <is>
          <t>Credito en $</t>
        </is>
      </c>
      <c r="E8" s="15" t="inlineStr">
        <is>
          <t>Saldo en $</t>
        </is>
      </c>
      <c r="G8" s="22" t="inlineStr">
        <is>
          <t>Total Débitos</t>
        </is>
      </c>
      <c r="H8" s="23">
        <f>SUM(C9:C23)</f>
        <v/>
      </c>
    </row>
    <row r="9">
      <c r="A9" s="18" t="n">
        <v>46204</v>
      </c>
      <c r="B9" s="19" t="inlineStr">
        <is>
          <t>SALDO INICIAL</t>
        </is>
      </c>
      <c r="C9" s="16" t="n">
        <v>0</v>
      </c>
      <c r="D9" s="16" t="n">
        <v>0</v>
      </c>
      <c r="E9" s="16">
        <f>D9-C9</f>
        <v/>
      </c>
      <c r="G9" s="22" t="inlineStr">
        <is>
          <t>Total Créditos</t>
        </is>
      </c>
      <c r="H9" s="23">
        <f>SUM(D9:D23)</f>
        <v/>
      </c>
    </row>
    <row r="10">
      <c r="A10" s="18" t="n">
        <v>46205</v>
      </c>
      <c r="B10" s="19" t="inlineStr">
        <is>
          <t>TRANSFERENCIA RECIBIDA CLIENTE NORTE</t>
        </is>
      </c>
      <c r="C10" s="16" t="n">
        <v>0</v>
      </c>
      <c r="D10" s="20" t="n">
        <v>1250000</v>
      </c>
      <c r="E10" s="16">
        <f>E9+D10-C10</f>
        <v/>
      </c>
    </row>
    <row r="11">
      <c r="A11" s="18" t="n">
        <v>46207</v>
      </c>
      <c r="B11" s="19" t="inlineStr">
        <is>
          <t>PAGO PROVEEDOR LOGISTICA SRL</t>
        </is>
      </c>
      <c r="C11" s="20" t="n">
        <v>320000</v>
      </c>
      <c r="D11" s="16" t="n">
        <v>0</v>
      </c>
      <c r="E11" s="16">
        <f>E10+D11-C11</f>
        <v/>
      </c>
    </row>
    <row r="12">
      <c r="A12" s="18" t="n">
        <v>46210</v>
      </c>
      <c r="B12" s="19" t="inlineStr">
        <is>
          <t>DEBITO AUTOMATICO EDESUR</t>
        </is>
      </c>
      <c r="C12" s="20" t="n">
        <v>48200</v>
      </c>
      <c r="D12" s="16" t="n">
        <v>0</v>
      </c>
      <c r="E12" s="16">
        <f>E11+D12-C12</f>
        <v/>
      </c>
    </row>
    <row r="13">
      <c r="A13" s="18" t="n">
        <v>46213</v>
      </c>
      <c r="B13" s="19" t="inlineStr">
        <is>
          <t>TRANSFERENCIA RECIBIDA CLIENTE CENTRO</t>
        </is>
      </c>
      <c r="C13" s="16" t="n">
        <v>0</v>
      </c>
      <c r="D13" s="20" t="n">
        <v>530000</v>
      </c>
      <c r="E13" s="16">
        <f>E12+D13-C13</f>
        <v/>
      </c>
    </row>
    <row r="14">
      <c r="A14" s="18" t="n">
        <v>46215</v>
      </c>
      <c r="B14" s="19" t="inlineStr">
        <is>
          <t>TRANSFERENCIA SEGURO</t>
        </is>
      </c>
      <c r="C14" s="20" t="n">
        <v>96000</v>
      </c>
      <c r="D14" s="16" t="n">
        <v>0</v>
      </c>
      <c r="E14" s="16">
        <f>E13+D14-C14</f>
        <v/>
      </c>
    </row>
    <row r="15">
      <c r="A15" s="18" t="n">
        <v>46218</v>
      </c>
      <c r="B15" s="19" t="inlineStr">
        <is>
          <t>TRANSFERENCIA RECIBIDA CLIENTE SUR</t>
        </is>
      </c>
      <c r="C15" s="16" t="n">
        <v>0</v>
      </c>
      <c r="D15" s="20" t="n">
        <v>845000.5</v>
      </c>
      <c r="E15" s="16">
        <f>E14+D15-C15</f>
        <v/>
      </c>
    </row>
    <row r="16">
      <c r="A16" s="18" t="n">
        <v>46221</v>
      </c>
      <c r="B16" s="19" t="inlineStr">
        <is>
          <t>DEPOSITO EFECTIVO</t>
        </is>
      </c>
      <c r="C16" s="16" t="n">
        <v>0</v>
      </c>
      <c r="D16" s="20" t="n">
        <v>410000</v>
      </c>
      <c r="E16" s="16">
        <f>E15+D16-C16</f>
        <v/>
      </c>
    </row>
    <row r="17">
      <c r="A17" s="18" t="n">
        <v>46223</v>
      </c>
      <c r="B17" s="19" t="inlineStr">
        <is>
          <t>TRANSFERENCIA ALQUILER OFICINA</t>
        </is>
      </c>
      <c r="C17" s="20" t="n">
        <v>250000</v>
      </c>
      <c r="D17" s="16" t="n">
        <v>0</v>
      </c>
      <c r="E17" s="16">
        <f>E16+D17-C17</f>
        <v/>
      </c>
    </row>
    <row r="18">
      <c r="A18" s="18" t="n">
        <v>46225</v>
      </c>
      <c r="B18" s="19" t="inlineStr">
        <is>
          <t>ACREDITACION INTERESES</t>
        </is>
      </c>
      <c r="C18" s="16" t="n">
        <v>0</v>
      </c>
      <c r="D18" s="20" t="n">
        <v>3200.25</v>
      </c>
      <c r="E18" s="16">
        <f>E17+D18-C18</f>
        <v/>
      </c>
    </row>
    <row r="19">
      <c r="A19" s="18" t="n">
        <v>46228</v>
      </c>
      <c r="B19" s="19" t="inlineStr">
        <is>
          <t>TRANSFERENCIA RECIBIDA CLIENTE SUR</t>
        </is>
      </c>
      <c r="C19" s="16" t="n">
        <v>0</v>
      </c>
      <c r="D19" s="20" t="n">
        <v>275000</v>
      </c>
      <c r="E19" s="16">
        <f>E18+D19-C19</f>
        <v/>
      </c>
    </row>
    <row r="20">
      <c r="A20" s="18" t="n">
        <v>46231</v>
      </c>
      <c r="B20" s="19" t="inlineStr">
        <is>
          <t>PAGO PROVEEDOR INSUMOS SA</t>
        </is>
      </c>
      <c r="C20" s="20" t="n">
        <v>198000</v>
      </c>
      <c r="D20" s="16" t="n">
        <v>0</v>
      </c>
      <c r="E20" s="16">
        <f>E19+D20-C20</f>
        <v/>
      </c>
    </row>
    <row r="21">
      <c r="A21" s="18" t="n">
        <v>46233</v>
      </c>
      <c r="B21" s="19" t="inlineStr">
        <is>
          <t>TRANSFERENCIA RECIBIDA CLIENTE CENTRO</t>
        </is>
      </c>
      <c r="C21" s="16" t="n">
        <v>0</v>
      </c>
      <c r="D21" s="20" t="n">
        <v>530000</v>
      </c>
      <c r="E21" s="16">
        <f>E20+D21-C21</f>
        <v/>
      </c>
    </row>
    <row r="22">
      <c r="A22" s="18" t="n">
        <v>46234</v>
      </c>
      <c r="B22" s="19" t="inlineStr">
        <is>
          <t>IMPUESTO LEY 25413</t>
        </is>
      </c>
      <c r="C22" s="24" t="n">
        <v>9250</v>
      </c>
      <c r="D22" s="16" t="n">
        <v>0</v>
      </c>
      <c r="E22" s="16">
        <f>E21+D22-C22</f>
        <v/>
      </c>
    </row>
    <row r="23">
      <c r="A23" s="18" t="n">
        <v>46234</v>
      </c>
      <c r="B23" s="19" t="inlineStr">
        <is>
          <t>COMISION MANTENIMIENTO</t>
        </is>
      </c>
      <c r="C23" s="24" t="n">
        <v>4800</v>
      </c>
      <c r="D23" s="16" t="n">
        <v>0</v>
      </c>
      <c r="E23" s="16">
        <f>E22+D23-C23</f>
        <v/>
      </c>
    </row>
  </sheetData>
  <mergeCells count="2">
    <mergeCell ref="A1:B3"/>
    <mergeCell ref="C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2026-10-13T18:20:46Z</dcterms:created>
  <dcterms:modified xsi:type="dcterms:W3CDTF">2026-10-13T20:42:10Z</dcterms:modified>
</cp:coreProperties>
</file>